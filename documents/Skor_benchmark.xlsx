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.works\7. AITHING\Streamlit_project\RApportLCV3\documents\"/>
    </mc:Choice>
  </mc:AlternateContent>
  <xr:revisionPtr revIDLastSave="0" documentId="13_ncr:1_{8560DAD0-60C5-44F4-8599-9A5EFC85AEC6}" xr6:coauthVersionLast="47" xr6:coauthVersionMax="47" xr10:uidLastSave="{00000000-0000-0000-0000-000000000000}"/>
  <bookViews>
    <workbookView xWindow="8268" yWindow="-10308" windowWidth="17280" windowHeight="8880" xr2:uid="{635DF1F5-A1E7-4C1B-8F4D-BE93130F16DA}"/>
  </bookViews>
  <sheets>
    <sheet name="Survei" sheetId="2" r:id="rId1"/>
    <sheet name="Evidence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3" i="2" l="1"/>
  <c r="N11" i="2"/>
  <c r="N10" i="2"/>
  <c r="N9" i="2"/>
  <c r="N8" i="2"/>
  <c r="N7" i="2"/>
  <c r="N6" i="2"/>
  <c r="N5" i="2"/>
  <c r="N4" i="2"/>
  <c r="K2" i="4"/>
  <c r="K10" i="4"/>
  <c r="K9" i="4"/>
  <c r="K8" i="4"/>
  <c r="K7" i="4"/>
  <c r="K6" i="4"/>
  <c r="K5" i="4"/>
  <c r="K4" i="4"/>
  <c r="K3" i="4"/>
</calcChain>
</file>

<file path=xl/sharedStrings.xml><?xml version="1.0" encoding="utf-8"?>
<sst xmlns="http://schemas.openxmlformats.org/spreadsheetml/2006/main" count="43" uniqueCount="33">
  <si>
    <t>HSH</t>
  </si>
  <si>
    <t>SKOR PEKERJA</t>
  </si>
  <si>
    <t>SKOR MITRA KERJA</t>
  </si>
  <si>
    <t>Holding</t>
  </si>
  <si>
    <t>SH C&amp;T</t>
  </si>
  <si>
    <t xml:space="preserve">SH GAS
</t>
  </si>
  <si>
    <t>SH IML</t>
  </si>
  <si>
    <t>SH PNRE</t>
  </si>
  <si>
    <t>SH R&amp;P</t>
  </si>
  <si>
    <t>SH Upstream</t>
  </si>
  <si>
    <t>AP, Portfolio &amp; Services, Yayasan</t>
  </si>
  <si>
    <t>Pertamina Group</t>
  </si>
  <si>
    <t>Strategi Budaya</t>
  </si>
  <si>
    <t>Impact to Business dari Program Budaya</t>
  </si>
  <si>
    <t>Monitoring &amp; Evaluasi program budaya oleh AoC dan Pimpinan</t>
  </si>
  <si>
    <t>Sosialisasi &amp; partisipasi dalam program budaya</t>
  </si>
  <si>
    <t>Pelaporan bulanan</t>
  </si>
  <si>
    <t>Apresiasi dari pelanggan</t>
  </si>
  <si>
    <t>Pemahaman program budaya</t>
  </si>
  <si>
    <t>Reward &amp; concequences untuk pekerja dan mitra kerja</t>
  </si>
  <si>
    <t>SK AoC dan sistem implementasi AKHLAK</t>
  </si>
  <si>
    <t>P. AKHLAK</t>
  </si>
  <si>
    <t>P. ONE Pertamina</t>
  </si>
  <si>
    <t>P. Program Budaya</t>
  </si>
  <si>
    <t>P. Keberlanjutan</t>
  </si>
  <si>
    <t>P. Safety</t>
  </si>
  <si>
    <t>MK. AKHLAK</t>
  </si>
  <si>
    <t>MK. ONE Pertamina</t>
  </si>
  <si>
    <t>MK. Program Budaya</t>
  </si>
  <si>
    <t>MK. Keberlanjutan</t>
  </si>
  <si>
    <t>MK. Safety</t>
  </si>
  <si>
    <t>Skor Survei</t>
  </si>
  <si>
    <t>SKOR Total Rata-rata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</si>
</sst>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2" fontId="0" fillId="0" borderId="1" xfId="0" applyNumberFormat="1" applyBorder="1"/>
    <xf numFmtId="0" fontId="0" fillId="2" borderId="1" xfId="0" applyFill="1" applyBorder="1"/>
    <xf numFmtId="2" fontId="0" fillId="2" borderId="1" xfId="0" applyNumberFormat="1" applyFill="1" applyBorder="1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CDC16-3C36-427C-B22E-922F8B85FEBC}">
  <dimension ref="A2:N11"/>
  <sheetViews>
    <sheetView tabSelected="1" zoomScale="40" zoomScaleNormal="40" workbookViewId="0">
      <selection activeCell="A2" sqref="A2"/>
    </sheetView>
  </sheetViews>
  <sheetFormatPr defaultRowHeight="14.4" x14ac:dyDescent="0.3"/>
  <cols>
    <col min="1" max="1" width="28" bestFit="1" customWidth="1"/>
    <col min="2" max="2" width="9.33203125" bestFit="1" customWidth="1"/>
    <col min="3" max="3" width="15.5546875" bestFit="1" customWidth="1"/>
    <col min="4" max="4" width="16.44140625" bestFit="1" customWidth="1"/>
    <col min="5" max="5" width="14.33203125" bestFit="1" customWidth="1"/>
    <col min="6" max="6" width="8.109375" bestFit="1" customWidth="1"/>
    <col min="7" max="7" width="12.6640625" bestFit="1" customWidth="1"/>
    <col min="8" max="8" width="11" bestFit="1" customWidth="1"/>
    <col min="9" max="9" width="17.33203125" bestFit="1" customWidth="1"/>
    <col min="10" max="10" width="18.21875" bestFit="1" customWidth="1"/>
    <col min="11" max="11" width="16" bestFit="1" customWidth="1"/>
    <col min="12" max="12" width="9.77734375" bestFit="1" customWidth="1"/>
    <col min="13" max="13" width="16.6640625" bestFit="1" customWidth="1"/>
    <col min="14" max="14" width="9.88671875" bestFit="1" customWidth="1"/>
  </cols>
  <sheetData>
    <row r="2" spans="1:14" x14ac:dyDescent="0.3">
      <c r="A2" s="5" t="s">
        <v>0</v>
      </c>
      <c r="B2" s="5" t="s">
        <v>21</v>
      </c>
      <c r="C2" s="5" t="s">
        <v>22</v>
      </c>
      <c r="D2" s="5" t="s">
        <v>23</v>
      </c>
      <c r="E2" s="5" t="s">
        <v>24</v>
      </c>
      <c r="F2" s="5" t="s">
        <v>25</v>
      </c>
      <c r="G2" s="5" t="s">
        <v>1</v>
      </c>
      <c r="H2" s="5" t="s">
        <v>26</v>
      </c>
      <c r="I2" s="5" t="s">
        <v>27</v>
      </c>
      <c r="J2" s="5" t="s">
        <v>28</v>
      </c>
      <c r="K2" s="5" t="s">
        <v>29</v>
      </c>
      <c r="L2" s="5" t="s">
        <v>30</v>
      </c>
      <c r="M2" s="5" t="s">
        <v>2</v>
      </c>
      <c r="N2" s="5" t="s">
        <v>31</v>
      </c>
    </row>
    <row r="3" spans="1:14" x14ac:dyDescent="0.3">
      <c r="A3" s="3" t="s">
        <v>11</v>
      </c>
      <c r="B3" s="4">
        <v>35.446595872677726</v>
      </c>
      <c r="C3" s="4">
        <v>6.3844407538179402</v>
      </c>
      <c r="D3" s="4">
        <v>6.5253987082328493</v>
      </c>
      <c r="E3" s="4">
        <v>3.8893035679960586</v>
      </c>
      <c r="F3" s="4">
        <v>11.328894358585357</v>
      </c>
      <c r="G3" s="4">
        <v>63.156548817187421</v>
      </c>
      <c r="H3" s="4">
        <v>32.130898766337253</v>
      </c>
      <c r="I3" s="4">
        <v>5.3835260579607676</v>
      </c>
      <c r="J3" s="4">
        <v>9.9475950316253279</v>
      </c>
      <c r="K3" s="4">
        <v>4.5217738244663828</v>
      </c>
      <c r="L3" s="4">
        <v>12.069951794771431</v>
      </c>
      <c r="M3" s="4">
        <v>63.86040342087523</v>
      </c>
      <c r="N3" s="4">
        <f>M3+G3</f>
        <v>127.01695223806266</v>
      </c>
    </row>
    <row r="4" spans="1:14" x14ac:dyDescent="0.3">
      <c r="A4" s="1" t="s">
        <v>10</v>
      </c>
      <c r="B4" s="2">
        <v>33.204879575636987</v>
      </c>
      <c r="C4" s="2">
        <v>5.7986297654550389</v>
      </c>
      <c r="D4" s="2">
        <v>6.1287301792641982</v>
      </c>
      <c r="E4" s="2">
        <v>3.55658528158069</v>
      </c>
      <c r="F4" s="2">
        <v>11.386800359677425</v>
      </c>
      <c r="G4" s="4">
        <v>59.484496621309354</v>
      </c>
      <c r="H4" s="2">
        <v>33.349074261442929</v>
      </c>
      <c r="I4" s="2">
        <v>4.9896930411874303</v>
      </c>
      <c r="J4" s="2">
        <v>9.5100254670875426</v>
      </c>
      <c r="K4" s="2">
        <v>4.0193621680650962</v>
      </c>
      <c r="L4" s="2">
        <v>11.787846338532002</v>
      </c>
      <c r="M4" s="4">
        <v>63.15181179564469</v>
      </c>
      <c r="N4" s="2">
        <f>M4+G4</f>
        <v>122.63630841695405</v>
      </c>
    </row>
    <row r="5" spans="1:14" x14ac:dyDescent="0.3">
      <c r="A5" s="1" t="s">
        <v>3</v>
      </c>
      <c r="B5" s="2">
        <v>34.94819376379634</v>
      </c>
      <c r="C5" s="2">
        <v>3.8378941316064998</v>
      </c>
      <c r="D5" s="2">
        <v>4.6945515155620967</v>
      </c>
      <c r="E5" s="2">
        <v>3.9643644184663644</v>
      </c>
      <c r="F5" s="2">
        <v>11.405830310625015</v>
      </c>
      <c r="G5" s="4">
        <v>57.13999167430287</v>
      </c>
      <c r="H5" s="2">
        <v>30.444768519784994</v>
      </c>
      <c r="I5" s="2">
        <v>5.2170996304026716</v>
      </c>
      <c r="J5" s="2">
        <v>8.6760755023040179</v>
      </c>
      <c r="K5" s="2">
        <v>4.5595429006292525</v>
      </c>
      <c r="L5" s="2">
        <v>11.97531501811646</v>
      </c>
      <c r="M5" s="4">
        <v>60.872801571237375</v>
      </c>
      <c r="N5" s="2">
        <f t="shared" ref="N5:N11" si="0">M5+G5</f>
        <v>118.01279324554025</v>
      </c>
    </row>
    <row r="6" spans="1:14" x14ac:dyDescent="0.3">
      <c r="A6" s="1" t="s">
        <v>4</v>
      </c>
      <c r="B6" s="2">
        <v>38.777838818026595</v>
      </c>
      <c r="C6" s="2">
        <v>7.4749130784287336</v>
      </c>
      <c r="D6" s="2">
        <v>7.4157084910989886</v>
      </c>
      <c r="E6" s="2">
        <v>4.0207592360953885</v>
      </c>
      <c r="F6" s="2">
        <v>12.014280011065068</v>
      </c>
      <c r="G6" s="4">
        <v>69.701191942407092</v>
      </c>
      <c r="H6" s="2">
        <v>32.976612805872278</v>
      </c>
      <c r="I6" s="2">
        <v>5.7747230609583351</v>
      </c>
      <c r="J6" s="2">
        <v>10.700730785449565</v>
      </c>
      <c r="K6" s="2">
        <v>5.1004642540442875</v>
      </c>
      <c r="L6" s="2">
        <v>12.32395385414198</v>
      </c>
      <c r="M6" s="4">
        <v>66.87648476046644</v>
      </c>
      <c r="N6" s="2">
        <f t="shared" si="0"/>
        <v>136.57767670287353</v>
      </c>
    </row>
    <row r="7" spans="1:14" x14ac:dyDescent="0.3">
      <c r="A7" s="1" t="s">
        <v>5</v>
      </c>
      <c r="B7" s="2">
        <v>37.073072584261801</v>
      </c>
      <c r="C7" s="2">
        <v>7.3949664569057365</v>
      </c>
      <c r="D7" s="2">
        <v>7.6882316666403483</v>
      </c>
      <c r="E7" s="2">
        <v>3.9907346752315851</v>
      </c>
      <c r="F7" s="2">
        <v>11.585464784526922</v>
      </c>
      <c r="G7" s="4">
        <v>67.730970167566397</v>
      </c>
      <c r="H7" s="2">
        <v>32.04488369971984</v>
      </c>
      <c r="I7" s="2">
        <v>5.3368387165741611</v>
      </c>
      <c r="J7" s="2">
        <v>9.8878619780539214</v>
      </c>
      <c r="K7" s="2">
        <v>4.0107669058564728</v>
      </c>
      <c r="L7" s="2">
        <v>11.723256264042693</v>
      </c>
      <c r="M7" s="4">
        <v>62.103190545666017</v>
      </c>
      <c r="N7" s="2">
        <f t="shared" si="0"/>
        <v>129.83416071323242</v>
      </c>
    </row>
    <row r="8" spans="1:14" x14ac:dyDescent="0.3">
      <c r="A8" s="1" t="s">
        <v>6</v>
      </c>
      <c r="B8" s="2">
        <v>34.298387045111461</v>
      </c>
      <c r="C8" s="2">
        <v>6.9850767536419154</v>
      </c>
      <c r="D8" s="2">
        <v>6.7214940995355965</v>
      </c>
      <c r="E8" s="2">
        <v>3.7709380765349159</v>
      </c>
      <c r="F8" s="2">
        <v>11.334904558032319</v>
      </c>
      <c r="G8" s="4">
        <v>63.11080053285621</v>
      </c>
      <c r="H8" s="2">
        <v>35.098684723559508</v>
      </c>
      <c r="I8" s="2">
        <v>5.3101997585069993</v>
      </c>
      <c r="J8" s="2">
        <v>10.470199611089511</v>
      </c>
      <c r="K8" s="2">
        <v>5.3195456833169521</v>
      </c>
      <c r="L8" s="2">
        <v>12.178979037649979</v>
      </c>
      <c r="M8" s="4">
        <v>68.377608814122951</v>
      </c>
      <c r="N8" s="2">
        <f t="shared" si="0"/>
        <v>131.48840934697915</v>
      </c>
    </row>
    <row r="9" spans="1:14" x14ac:dyDescent="0.3">
      <c r="A9" s="1" t="s">
        <v>7</v>
      </c>
      <c r="B9" s="2">
        <v>37.236345926759277</v>
      </c>
      <c r="C9" s="2">
        <v>5.6862796938391318</v>
      </c>
      <c r="D9" s="2">
        <v>5.9727257356980585</v>
      </c>
      <c r="E9" s="2">
        <v>3.8807616353700753</v>
      </c>
      <c r="F9" s="2">
        <v>10.810340941423972</v>
      </c>
      <c r="G9" s="4">
        <v>62.963350484814647</v>
      </c>
      <c r="H9" s="2">
        <v>34.550387106872151</v>
      </c>
      <c r="I9" s="2">
        <v>5.5131871825371759</v>
      </c>
      <c r="J9" s="2">
        <v>10.528381259532889</v>
      </c>
      <c r="K9" s="2">
        <v>4.034862085039304</v>
      </c>
      <c r="L9" s="2">
        <v>12.220822826028281</v>
      </c>
      <c r="M9" s="4">
        <v>66.16516919564198</v>
      </c>
      <c r="N9" s="2">
        <f t="shared" si="0"/>
        <v>129.12851968045663</v>
      </c>
    </row>
    <row r="10" spans="1:14" x14ac:dyDescent="0.3">
      <c r="A10" s="1" t="s">
        <v>8</v>
      </c>
      <c r="B10" s="2">
        <v>37.330813128913107</v>
      </c>
      <c r="C10" s="2">
        <v>6.5802672510072124</v>
      </c>
      <c r="D10" s="2">
        <v>7.1802243433999831</v>
      </c>
      <c r="E10" s="2">
        <v>3.9577472992242564</v>
      </c>
      <c r="F10" s="2">
        <v>9.2561975263679237</v>
      </c>
      <c r="G10" s="4">
        <v>64.305249548912499</v>
      </c>
      <c r="H10" s="2">
        <v>31.769973730153243</v>
      </c>
      <c r="I10" s="2">
        <v>5.2256434501982305</v>
      </c>
      <c r="J10" s="2">
        <v>9.6812283405212689</v>
      </c>
      <c r="K10" s="2">
        <v>4.6830907374551609</v>
      </c>
      <c r="L10" s="2">
        <v>12.123594558107683</v>
      </c>
      <c r="M10" s="4">
        <v>63.483530816435596</v>
      </c>
      <c r="N10" s="2">
        <f t="shared" si="0"/>
        <v>127.78878036534809</v>
      </c>
    </row>
    <row r="11" spans="1:14" x14ac:dyDescent="0.3">
      <c r="A11" s="1" t="s">
        <v>9</v>
      </c>
      <c r="B11" s="2">
        <v>33.465336186291061</v>
      </c>
      <c r="C11" s="2">
        <v>7.5029216805980674</v>
      </c>
      <c r="D11" s="2">
        <v>6.9601090280667952</v>
      </c>
      <c r="E11" s="2">
        <v>3.8834868238719156</v>
      </c>
      <c r="F11" s="2">
        <v>11.769830432193523</v>
      </c>
      <c r="G11" s="4">
        <v>63.581684151021385</v>
      </c>
      <c r="H11" s="2">
        <v>31.008746403681215</v>
      </c>
      <c r="I11" s="2">
        <v>5.5451940635024313</v>
      </c>
      <c r="J11" s="2">
        <v>10.502309756862664</v>
      </c>
      <c r="K11" s="2">
        <v>4.4766213826535619</v>
      </c>
      <c r="L11" s="2">
        <v>12.177923624346903</v>
      </c>
      <c r="M11" s="4">
        <v>63.710795231046738</v>
      </c>
      <c r="N11" s="2">
        <f t="shared" si="0"/>
        <v>127.29247938206812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FA4A4-903A-44B4-BD1F-E800CE10CB0A}">
  <dimension ref="A1:K10"/>
  <sheetViews>
    <sheetView topLeftCell="I1" workbookViewId="0">
      <selection activeCell="K13" sqref="K13"/>
    </sheetView>
  </sheetViews>
  <sheetFormatPr defaultRowHeight="14.4" x14ac:dyDescent="0.3"/>
  <cols>
    <col min="1" max="1" width="28" bestFit="1" customWidth="1"/>
    <col min="2" max="2" width="13.77734375" bestFit="1" customWidth="1"/>
    <col min="3" max="3" width="52.6640625" bestFit="1" customWidth="1"/>
    <col min="4" max="4" width="39.44140625" bestFit="1" customWidth="1"/>
    <col min="5" max="5" width="16.21875" bestFit="1" customWidth="1"/>
    <col min="6" max="6" width="20.6640625" bestFit="1" customWidth="1"/>
    <col min="7" max="7" width="25.109375" bestFit="1" customWidth="1"/>
    <col min="8" max="8" width="46.109375" bestFit="1" customWidth="1"/>
    <col min="9" max="9" width="34.5546875" bestFit="1" customWidth="1"/>
    <col min="10" max="10" width="34.21875" bestFit="1" customWidth="1"/>
    <col min="11" max="11" width="18" bestFit="1" customWidth="1"/>
  </cols>
  <sheetData>
    <row r="1" spans="1:11" x14ac:dyDescent="0.3">
      <c r="A1" s="5" t="s">
        <v>0</v>
      </c>
      <c r="B1" s="5" t="s">
        <v>12</v>
      </c>
      <c r="C1" s="5" t="s">
        <v>14</v>
      </c>
      <c r="D1" s="5" t="s">
        <v>15</v>
      </c>
      <c r="E1" s="5" t="s">
        <v>16</v>
      </c>
      <c r="F1" s="5" t="s">
        <v>17</v>
      </c>
      <c r="G1" s="5" t="s">
        <v>18</v>
      </c>
      <c r="H1" s="5" t="s">
        <v>19</v>
      </c>
      <c r="I1" s="5" t="s">
        <v>20</v>
      </c>
      <c r="J1" s="5" t="s">
        <v>13</v>
      </c>
      <c r="K1" s="5" t="s">
        <v>32</v>
      </c>
    </row>
    <row r="2" spans="1:11" x14ac:dyDescent="0.3">
      <c r="A2" s="3" t="s">
        <v>11</v>
      </c>
      <c r="B2" s="4">
        <v>64.21182266009852</v>
      </c>
      <c r="C2" s="4">
        <v>63.916256157635466</v>
      </c>
      <c r="D2" s="4">
        <v>43.088669950738918</v>
      </c>
      <c r="E2" s="4">
        <v>39.937692939244791</v>
      </c>
      <c r="F2" s="4">
        <v>18.830049261083744</v>
      </c>
      <c r="G2" s="4">
        <v>28.96551724137931</v>
      </c>
      <c r="H2" s="4">
        <v>17.844827586206897</v>
      </c>
      <c r="I2" s="4">
        <v>19.704433497536947</v>
      </c>
      <c r="J2" s="4">
        <v>19.16256157635468</v>
      </c>
      <c r="K2" s="4">
        <f>SUM(B2:J2)</f>
        <v>315.66183087027929</v>
      </c>
    </row>
    <row r="3" spans="1:11" x14ac:dyDescent="0.3">
      <c r="A3" s="1" t="s">
        <v>10</v>
      </c>
      <c r="B3" s="2">
        <v>61.888888888888886</v>
      </c>
      <c r="C3" s="2">
        <v>58.888888888888886</v>
      </c>
      <c r="D3" s="2">
        <v>46.666666666666664</v>
      </c>
      <c r="E3" s="2">
        <v>36.687999999999988</v>
      </c>
      <c r="F3" s="2">
        <v>18.888888888888889</v>
      </c>
      <c r="G3" s="2">
        <v>29.777777777777779</v>
      </c>
      <c r="H3" s="2">
        <v>18.222222222222221</v>
      </c>
      <c r="I3" s="2">
        <v>19.777777777777779</v>
      </c>
      <c r="J3" s="2">
        <v>17.777777777777779</v>
      </c>
      <c r="K3" s="2">
        <f>SUM(B3:J3)</f>
        <v>308.57688888888885</v>
      </c>
    </row>
    <row r="4" spans="1:11" x14ac:dyDescent="0.3">
      <c r="A4" s="1" t="s">
        <v>3</v>
      </c>
      <c r="B4" s="2">
        <v>63.835616438356162</v>
      </c>
      <c r="C4" s="2">
        <v>60.821917808219176</v>
      </c>
      <c r="D4" s="2">
        <v>40.095890410958901</v>
      </c>
      <c r="E4" s="2">
        <v>35.661141552511417</v>
      </c>
      <c r="F4" s="2">
        <v>16.849315068493151</v>
      </c>
      <c r="G4" s="2">
        <v>26.712328767123289</v>
      </c>
      <c r="H4" s="2">
        <v>16.232876712328768</v>
      </c>
      <c r="I4" s="2">
        <v>18.493150684931507</v>
      </c>
      <c r="J4" s="2">
        <v>17.534246575342465</v>
      </c>
      <c r="K4" s="2">
        <f t="shared" ref="K4:K10" si="0">SUM(B4:J4)</f>
        <v>296.23648401826489</v>
      </c>
    </row>
    <row r="5" spans="1:11" x14ac:dyDescent="0.3">
      <c r="A5" s="1" t="s">
        <v>4</v>
      </c>
      <c r="B5" s="2">
        <v>60.96153846153846</v>
      </c>
      <c r="C5" s="2">
        <v>63.07692307692308</v>
      </c>
      <c r="D5" s="2">
        <v>41.980769230769234</v>
      </c>
      <c r="E5" s="2">
        <v>37.839999999999961</v>
      </c>
      <c r="F5" s="2">
        <v>19.03846153846154</v>
      </c>
      <c r="G5" s="2">
        <v>29.23076923076923</v>
      </c>
      <c r="H5" s="2">
        <v>16.73076923076923</v>
      </c>
      <c r="I5" s="2">
        <v>20</v>
      </c>
      <c r="J5" s="2">
        <v>19.423076923076923</v>
      </c>
      <c r="K5" s="2">
        <f t="shared" si="0"/>
        <v>308.28230769230765</v>
      </c>
    </row>
    <row r="6" spans="1:11" x14ac:dyDescent="0.3">
      <c r="A6" s="1" t="s">
        <v>5</v>
      </c>
      <c r="B6" s="2">
        <v>65.5</v>
      </c>
      <c r="C6" s="2">
        <v>68.125</v>
      </c>
      <c r="D6" s="2">
        <v>45.35</v>
      </c>
      <c r="E6" s="2">
        <v>47.085999999999991</v>
      </c>
      <c r="F6" s="2">
        <v>19.375</v>
      </c>
      <c r="G6" s="2">
        <v>30</v>
      </c>
      <c r="H6" s="2">
        <v>19.125</v>
      </c>
      <c r="I6" s="2">
        <v>20</v>
      </c>
      <c r="J6" s="2">
        <v>19.75</v>
      </c>
      <c r="K6" s="2">
        <f t="shared" si="0"/>
        <v>334.31099999999998</v>
      </c>
    </row>
    <row r="7" spans="1:11" x14ac:dyDescent="0.3">
      <c r="A7" s="1" t="s">
        <v>6</v>
      </c>
      <c r="B7" s="2">
        <v>63.75</v>
      </c>
      <c r="C7" s="2">
        <v>64.821428571428569</v>
      </c>
      <c r="D7" s="2">
        <v>43.785714285714285</v>
      </c>
      <c r="E7" s="2">
        <v>39.25</v>
      </c>
      <c r="F7" s="2">
        <v>18.928571428571427</v>
      </c>
      <c r="G7" s="2">
        <v>30</v>
      </c>
      <c r="H7" s="2">
        <v>19.642857142857142</v>
      </c>
      <c r="I7" s="2">
        <v>20</v>
      </c>
      <c r="J7" s="2">
        <v>20</v>
      </c>
      <c r="K7" s="2">
        <f t="shared" si="0"/>
        <v>320.17857142857139</v>
      </c>
    </row>
    <row r="8" spans="1:11" x14ac:dyDescent="0.3">
      <c r="A8" s="1" t="s">
        <v>7</v>
      </c>
      <c r="B8" s="2">
        <v>66.379310344827587</v>
      </c>
      <c r="C8" s="2">
        <v>62.068965517241381</v>
      </c>
      <c r="D8" s="2">
        <v>40.96551724137931</v>
      </c>
      <c r="E8" s="2">
        <v>38.521379310344827</v>
      </c>
      <c r="F8" s="2">
        <v>19.655172413793103</v>
      </c>
      <c r="G8" s="2">
        <v>27.931034482758619</v>
      </c>
      <c r="H8" s="2">
        <v>15</v>
      </c>
      <c r="I8" s="2">
        <v>20</v>
      </c>
      <c r="J8" s="2">
        <v>20</v>
      </c>
      <c r="K8" s="2">
        <f t="shared" si="0"/>
        <v>310.5213793103448</v>
      </c>
    </row>
    <row r="9" spans="1:11" x14ac:dyDescent="0.3">
      <c r="A9" s="1" t="s">
        <v>8</v>
      </c>
      <c r="B9" s="2">
        <v>66.5</v>
      </c>
      <c r="C9" s="2">
        <v>64.5</v>
      </c>
      <c r="D9" s="2">
        <v>43.3</v>
      </c>
      <c r="E9" s="2">
        <v>39.64974999999999</v>
      </c>
      <c r="F9" s="2">
        <v>18.625</v>
      </c>
      <c r="G9" s="2">
        <v>29.25</v>
      </c>
      <c r="H9" s="2">
        <v>18.25</v>
      </c>
      <c r="I9" s="2">
        <v>20</v>
      </c>
      <c r="J9" s="2">
        <v>19.5</v>
      </c>
      <c r="K9" s="2">
        <f t="shared" si="0"/>
        <v>319.57474999999999</v>
      </c>
    </row>
    <row r="10" spans="1:11" x14ac:dyDescent="0.3">
      <c r="A10" s="1" t="s">
        <v>9</v>
      </c>
      <c r="B10" s="2">
        <v>65.303030303030297</v>
      </c>
      <c r="C10" s="2">
        <v>67.272727272727266</v>
      </c>
      <c r="D10" s="2">
        <v>43.676767676767675</v>
      </c>
      <c r="E10" s="2">
        <v>43.507575757575765</v>
      </c>
      <c r="F10" s="2">
        <v>19.747474747474747</v>
      </c>
      <c r="G10" s="2">
        <v>29.595959595959595</v>
      </c>
      <c r="H10" s="2">
        <v>19.09090909090909</v>
      </c>
      <c r="I10" s="2">
        <v>20</v>
      </c>
      <c r="J10" s="2">
        <v>20</v>
      </c>
      <c r="K10" s="2">
        <f t="shared" si="0"/>
        <v>328.1944444444444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Survei</vt:lpstr>
      <vt:lpstr>Evidence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ALDY</dc:creator>
  <cp:lastModifiedBy>Fajar wibisono</cp:lastModifiedBy>
  <dcterms:created xsi:type="dcterms:W3CDTF">2025-11-13T05:25:17Z</dcterms:created>
  <dcterms:modified xsi:type="dcterms:W3CDTF">2025-11-24T08:31:04Z</dcterms:modified>
</cp:coreProperties>
</file>